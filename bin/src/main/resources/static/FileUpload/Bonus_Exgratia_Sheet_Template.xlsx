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ruti\ori\orp_nerp08052024\web_orinerp\src\main\resources\static\FileUpload\"/>
    </mc:Choice>
  </mc:AlternateContent>
  <xr:revisionPtr revIDLastSave="0" documentId="13_ncr:1_{4679FD6E-F454-45D2-811A-0278B6582B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nus Template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5" i="1" l="1"/>
  <c r="F5" i="1" s="1"/>
  <c r="G5" i="1" s="1"/>
</calcChain>
</file>

<file path=xl/sharedStrings.xml><?xml version="1.0" encoding="utf-8"?>
<sst xmlns="http://schemas.openxmlformats.org/spreadsheetml/2006/main" count="11" uniqueCount="11">
  <si>
    <t>Employee Id</t>
  </si>
  <si>
    <t>Orifood and Beverage Pvt Ltd</t>
  </si>
  <si>
    <t>Bonus &amp; Exgratia for the year 2022-23</t>
  </si>
  <si>
    <t>Name of the Employees</t>
  </si>
  <si>
    <t>Attnd.</t>
  </si>
  <si>
    <t xml:space="preserve"> BASIC SALARY</t>
  </si>
  <si>
    <t>BONUS</t>
  </si>
  <si>
    <t>EXGRATIA</t>
  </si>
  <si>
    <t>Total Bonus &amp; Exgratia</t>
  </si>
  <si>
    <t>Bank Account Details</t>
  </si>
  <si>
    <t xml:space="preserve">Demo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</si>
</sst>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4"/>
      <color theme="1"/>
      <name val="Book Antiqua"/>
      <family val="1"/>
    </font>
    <font>
      <b/>
      <sz val="11"/>
      <color theme="1"/>
      <name val="Bahnschrift SemiBold Condense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43" fontId="0" fillId="0" borderId="0" xfId="1" applyFont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43" fontId="0" fillId="0" borderId="2" xfId="1" applyFont="1" applyBorder="1"/>
    <xf numFmtId="43" fontId="2" fillId="0" borderId="2" xfId="1" applyFont="1" applyBorder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164" fontId="0" fillId="0" borderId="0" xfId="1" applyNumberFormat="1" applyFont="1"/>
    <xf numFmtId="164" fontId="5" fillId="0" borderId="1" xfId="1" applyNumberFormat="1" applyFont="1" applyBorder="1" applyAlignment="1">
      <alignment horizontal="center" vertical="center" wrapText="1"/>
    </xf>
    <xf numFmtId="164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1" sqref="H1:H1048576"/>
    </sheetView>
  </sheetViews>
  <sheetFormatPr defaultRowHeight="15" x14ac:dyDescent="0.25"/>
  <cols>
    <col min="1" max="1" width="17.42578125" customWidth="1"/>
    <col min="2" max="2" width="35" bestFit="1" customWidth="1"/>
    <col min="3" max="3" width="10" style="2" bestFit="1" customWidth="1"/>
    <col min="4" max="4" width="14.28515625" style="2" bestFit="1" customWidth="1"/>
    <col min="5" max="5" width="12.5703125" style="2" bestFit="1" customWidth="1"/>
    <col min="6" max="6" width="11.5703125" style="2" bestFit="1" customWidth="1"/>
    <col min="7" max="7" width="15.5703125" style="2" bestFit="1" customWidth="1"/>
    <col min="8" max="8" width="17.5703125" style="11" customWidth="1"/>
    <col min="9" max="9" width="9.7109375" customWidth="1"/>
  </cols>
  <sheetData>
    <row r="1" spans="1:8" ht="15.75" x14ac:dyDescent="0.25">
      <c r="A1" s="1" t="s">
        <v>1</v>
      </c>
    </row>
    <row r="2" spans="1:8" ht="15.75" x14ac:dyDescent="0.25">
      <c r="A2" s="1"/>
    </row>
    <row r="3" spans="1:8" ht="18.75" x14ac:dyDescent="0.3">
      <c r="A3" s="3" t="s">
        <v>2</v>
      </c>
    </row>
    <row r="4" spans="1:8" s="8" customFormat="1" ht="29.25" thickBot="1" x14ac:dyDescent="0.3">
      <c r="A4" s="9" t="s">
        <v>0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2" t="s">
        <v>9</v>
      </c>
    </row>
    <row r="5" spans="1:8" x14ac:dyDescent="0.25">
      <c r="A5" s="4">
        <v>1</v>
      </c>
      <c r="B5" s="5" t="s">
        <v>10</v>
      </c>
      <c r="C5" s="6">
        <v>322.5</v>
      </c>
      <c r="D5" s="6">
        <v>151180</v>
      </c>
      <c r="E5" s="6">
        <f>ROUND(IF(D5*8.33%&gt;7000,7000,D5*8.33%),0)</f>
        <v>7000</v>
      </c>
      <c r="F5" s="6">
        <f>ROUND(IF(D5*8.33%&lt;7000,0,D5*8.33%-E5),0)</f>
        <v>5593</v>
      </c>
      <c r="G5" s="7">
        <f>E5+F5</f>
        <v>12593</v>
      </c>
      <c r="H5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Bonus Template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NIRMALYA LABS</dc:creator>
  <cp:lastModifiedBy>Nirmalya labs</cp:lastModifiedBy>
  <dcterms:created xsi:type="dcterms:W3CDTF">2022-06-20T06:25:26Z</dcterms:created>
  <dcterms:modified xsi:type="dcterms:W3CDTF">2024-11-04T05:19:54Z</dcterms:modified>
</cp:coreProperties>
</file>